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<sst xmlns="http://schemas.openxmlformats.org/spreadsheetml/2006/main" count="213" uniqueCount="154">
  <si>
    <t xml:space="preserve">DICTUM — ESTADO DE SITUACIÓN FINANCIERA</t>
  </si>
  <si>
    <t xml:space="preserve">Cifras en pesos mexicanos (MXN) — Datos de ejemplo para ejercicio didáctico</t>
  </si>
  <si>
    <t xml:space="preserve">Clave</t>
  </si>
  <si>
    <t xml:space="preserve">Cuenta / Descripción</t>
  </si>
  <si>
    <t xml:space="preserve">Tipo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</si>
  <si>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</si>
  <si>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</si>
  <si>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</si>
  <si>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</si>
  <si>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</si>
  <si>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</si>
  <si>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1</t>
  </si>
  <si>
    <t xml:space="preserve">ACTIVO</t>
  </si>
  <si>
    <t xml:space="preserve">GRUPO</t>
  </si>
  <si>
    <t xml:space="preserve">1.1</t>
  </si>
  <si>
    <t xml:space="preserve">    Activo Circulante</t>
  </si>
  <si>
    <t xml:space="preserve">SUBGRUPO</t>
  </si>
  <si>
    <t xml:space="preserve">1.1.01</t>
  </si>
  <si>
    <t xml:space="preserve">        Caja y Bancos</t>
  </si>
  <si>
    <t xml:space="preserve">CUENTA</t>
  </si>
  <si>
    <t xml:space="preserve">1.1.02</t>
  </si>
  <si>
    <t xml:space="preserve">        Inversiones Temporales</t>
  </si>
  <si>
    <t xml:space="preserve">1.1.03</t>
  </si>
  <si>
    <t xml:space="preserve">        Clientes</t>
  </si>
  <si>
    <t xml:space="preserve">1.1.04</t>
  </si>
  <si>
    <t xml:space="preserve">        Documentos por Cobrar</t>
  </si>
  <si>
    <t xml:space="preserve">1.1.05</t>
  </si>
  <si>
    <t xml:space="preserve">        Deudores Diversos</t>
  </si>
  <si>
    <t xml:space="preserve">1.1.06</t>
  </si>
  <si>
    <t xml:space="preserve">        Inventarios</t>
  </si>
  <si>
    <t xml:space="preserve">1.1.07</t>
  </si>
  <si>
    <t xml:space="preserve">        Anticipo a Proveedores</t>
  </si>
  <si>
    <t xml:space="preserve">1.1.08</t>
  </si>
  <si>
    <t xml:space="preserve">        IVA Acreditable</t>
  </si>
  <si>
    <t xml:space="preserve">1.1.09</t>
  </si>
  <si>
    <t xml:space="preserve">        Pagos Anticipados</t>
  </si>
  <si>
    <t xml:space="preserve">    Total Activo Circulante</t>
  </si>
  <si>
    <t xml:space="preserve">SUBTOTAL</t>
  </si>
  <si>
    <t xml:space="preserve">1.2</t>
  </si>
  <si>
    <t xml:space="preserve">    Activo No Circulante</t>
  </si>
  <si>
    <t xml:space="preserve">1.2.01</t>
  </si>
  <si>
    <t xml:space="preserve">        Terrenos</t>
  </si>
  <si>
    <t xml:space="preserve">1.2.02</t>
  </si>
  <si>
    <t xml:space="preserve">        Edificios</t>
  </si>
  <si>
    <t xml:space="preserve">1.2.03</t>
  </si>
  <si>
    <t xml:space="preserve">        Maquinaria y Equipo</t>
  </si>
  <si>
    <t xml:space="preserve">1.2.04</t>
  </si>
  <si>
    <t xml:space="preserve">        Equipo de Transporte</t>
  </si>
  <si>
    <t xml:space="preserve">1.2.05</t>
  </si>
  <si>
    <t xml:space="preserve">        Equipo de Cómputo</t>
  </si>
  <si>
    <t xml:space="preserve">1.2.06</t>
  </si>
  <si>
    <t xml:space="preserve">        Depreciación Acumulada</t>
  </si>
  <si>
    <t xml:space="preserve">1.2.07</t>
  </si>
  <si>
    <t xml:space="preserve">        Activos Intangibles</t>
  </si>
  <si>
    <t xml:space="preserve">1.2.08</t>
  </si>
  <si>
    <t xml:space="preserve">        Inversiones a Largo Plazo</t>
  </si>
  <si>
    <t xml:space="preserve">    Total Activo No Circulante</t>
  </si>
  <si>
    <t xml:space="preserve">TOTAL ACTIVO</t>
  </si>
  <si>
    <t xml:space="preserve">TOTAL</t>
  </si>
  <si>
    <t xml:space="preserve">2</t>
  </si>
  <si>
    <t xml:space="preserve">PASIVO</t>
  </si>
  <si>
    <t xml:space="preserve">2.1</t>
  </si>
  <si>
    <t xml:space="preserve">    Pasivo a Corto Plazo</t>
  </si>
  <si>
    <t xml:space="preserve">2.1.01</t>
  </si>
  <si>
    <t xml:space="preserve">        Proveedores</t>
  </si>
  <si>
    <t xml:space="preserve">2.1.02</t>
  </si>
  <si>
    <t xml:space="preserve">        Documentos por Pagar</t>
  </si>
  <si>
    <t xml:space="preserve">2.1.03</t>
  </si>
  <si>
    <t xml:space="preserve">        Acreedores Diversos</t>
  </si>
  <si>
    <t xml:space="preserve">2.1.04</t>
  </si>
  <si>
    <t xml:space="preserve">        Anticipo de Clientes</t>
  </si>
  <si>
    <t xml:space="preserve">2.1.05</t>
  </si>
  <si>
    <t xml:space="preserve">        IVA por Pagar</t>
  </si>
  <si>
    <t xml:space="preserve">2.1.06</t>
  </si>
  <si>
    <t xml:space="preserve">        ISR por Pagar</t>
  </si>
  <si>
    <t xml:space="preserve">2.1.07</t>
  </si>
  <si>
    <t xml:space="preserve">        PTU por Pagar</t>
  </si>
  <si>
    <t xml:space="preserve">2.1.08</t>
  </si>
  <si>
    <t xml:space="preserve">        Nómina por Pagar</t>
  </si>
  <si>
    <t xml:space="preserve">    Total Pasivo Corto Plazo</t>
  </si>
  <si>
    <t xml:space="preserve">2.2</t>
  </si>
  <si>
    <t xml:space="preserve">    Pasivo a Largo Plazo</t>
  </si>
  <si>
    <t xml:space="preserve">2.2.01</t>
  </si>
  <si>
    <t xml:space="preserve">        Préstamos Bancarios LP</t>
  </si>
  <si>
    <t xml:space="preserve">2.2.02</t>
  </si>
  <si>
    <t xml:space="preserve">        Obligaciones Financieras</t>
  </si>
  <si>
    <t xml:space="preserve">2.2.03</t>
  </si>
  <si>
    <t xml:space="preserve">        Provisiones Largo Plazo</t>
  </si>
  <si>
    <t xml:space="preserve">    Total Pasivo Largo Plazo</t>
  </si>
  <si>
    <t xml:space="preserve">TOTAL PASIVO</t>
  </si>
  <si>
    <t xml:space="preserve">3</t>
  </si>
  <si>
    <t xml:space="preserve">CAPITAL CONTABLE</t>
  </si>
  <si>
    <t xml:space="preserve">3.1</t>
  </si>
  <si>
    <t xml:space="preserve">    Capital Social</t>
  </si>
  <si>
    <t xml:space="preserve">3.1.01</t>
  </si>
  <si>
    <t xml:space="preserve">        Capital Social Fijo</t>
  </si>
  <si>
    <t xml:space="preserve">3.1.02</t>
  </si>
  <si>
    <t xml:space="preserve">        Capital Social Variable</t>
  </si>
  <si>
    <t xml:space="preserve">3.1.03</t>
  </si>
  <si>
    <t xml:space="preserve">        Prima en Venta de Acciones</t>
  </si>
  <si>
    <t xml:space="preserve">    Total Capital Social</t>
  </si>
  <si>
    <t xml:space="preserve">3.2</t>
  </si>
  <si>
    <t xml:space="preserve">    Resultados</t>
  </si>
  <si>
    <t xml:space="preserve">3.2.01</t>
  </si>
  <si>
    <t xml:space="preserve">        Utilidad / Pérdida del Ejercicio</t>
  </si>
  <si>
    <t xml:space="preserve">3.2.02</t>
  </si>
  <si>
    <t xml:space="preserve">        Utilidades Retenidas</t>
  </si>
  <si>
    <t xml:space="preserve">3.2.03</t>
  </si>
  <si>
    <t xml:space="preserve">        Reserva Legal</t>
  </si>
  <si>
    <t xml:space="preserve">3.2.04</t>
  </si>
  <si>
    <t xml:space="preserve">        Efecto por Conversión</t>
  </si>
  <si>
    <t xml:space="preserve">    Total Resultados</t>
  </si>
  <si>
    <t xml:space="preserve">TOTAL CAPITAL CONTABLE</t>
  </si>
  <si>
    <t xml:space="preserve">23</t>
  </si>
  <si>
    <t xml:space="preserve">TOTAL PASIVO + CAPITAL</t>
  </si>
  <si>
    <t xml:space="preserve">GUÍA DE USO — DATOS</t>
  </si>
  <si>
    <t xml:space="preserve">COLOR DE TEXTO</t>
  </si>
  <si>
    <t xml:space="preserve">SIGNIFICADO</t>
  </si>
  <si>
    <t xml:space="preserve">Texto en AZUL</t>
  </si>
  <si>
    <t xml:space="preserve">Valor de entrada — puedes modificarlo directamente</t>
  </si>
  <si>
    <t xml:space="preserve">Texto en NEGRO</t>
  </si>
  <si>
    <t xml:space="preserve">Fórmula — se calcula automáticamente, no modificar</t>
  </si>
  <si>
    <t xml:space="preserve">COLOR DE FILA</t>
  </si>
  <si>
    <t xml:space="preserve">Fondo AZUL OSCURO (cabecera)</t>
  </si>
  <si>
    <t xml:space="preserve">Grupos principales: ACTIVO, PASIVO, CAPITAL</t>
  </si>
  <si>
    <t xml:space="preserve">Fondo AZUL MEDIO (subgrupo)</t>
  </si>
  <si>
    <t xml:space="preserve">Subgrupos: Activo Circulante, Pasivo CP, etc.</t>
  </si>
  <si>
    <t xml:space="preserve">Fondo AZUL CLARO (subtotal)</t>
  </si>
  <si>
    <t xml:space="preserve">Subtotales automáticos de cada subgrupo</t>
  </si>
  <si>
    <t xml:space="preserve">Fondo AZUL OSCURO (total)</t>
  </si>
  <si>
    <t xml:space="preserve">Totales generales</t>
  </si>
  <si>
    <t xml:space="preserve">Fondo BLANCO / GRIS SUAVE</t>
  </si>
  <si>
    <t xml:space="preserve">Cuentas individuales — valores modificables</t>
  </si>
  <si>
    <t xml:space="preserve">ESTRUCTURA DE COLUMNAS</t>
  </si>
  <si>
    <t xml:space="preserve">DETALLE</t>
  </si>
  <si>
    <t xml:space="preserve">Columna A — Clave</t>
  </si>
  <si>
    <t xml:space="preserve">Código de la cuenta (ej. 1.1.03 = Clientes)</t>
  </si>
  <si>
    <t xml:space="preserve">Columna B — Descripción</t>
  </si>
  <si>
    <t xml:space="preserve">Nombre de la cuenta contable</t>
  </si>
  <si>
    <t xml:space="preserve">Columna C — Tipo</t>
  </si>
  <si>
    <t xml:space="preserve">Clasificación: CUENTA, SUBGRUPO, SUBTOTAL, TOTAL</t>
  </si>
  <si>
    <t xml:space="preserve">Columnas D en adelante</t>
  </si>
  <si>
    <t xml:space="preserve">Un período mensual por columna (Ene 2024 … Jun 2024)</t>
  </si>
  <si>
    <t xml:space="preserve">PARA EL EJERCICIO EN REACT/NEXT.JS</t>
  </si>
  <si>
    <t xml:space="preserve">¿Qué renderizar?</t>
  </si>
  <si>
    <t xml:space="preserve">Una fila por cada registro de la hoja 'datos'</t>
  </si>
  <si>
    <t xml:space="preserve">¿Cómo identificar cuentas?</t>
  </si>
  <si>
    <t xml:space="preserve">Columna C = CUENTA → son las filas con inputs editables</t>
  </si>
  <si>
    <t xml:space="preserve">¿Cómo identificar totales?</t>
  </si>
  <si>
    <t xml:space="preserve">Columna C = SUBTOTAL o TOTAL → mostrar calculado</t>
  </si>
  <si>
    <t xml:space="preserve">¿Qué columnas son periodos?</t>
  </si>
  <si>
    <t xml:space="preserve">Todo lo que esté a partir de la columna D (índice 3 en JS)</t>
  </si>
  <si>
    <t xml:space="preserve">Buscador sugerido</t>
  </si>
  <si>
    <t xml:space="preserve">Filtrar por columna B (nombre) o columna A (clave)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</si>
</sst>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BDD7EE"/>
      </patternFill>
    </fill>
    <fill>
      <patternFill patternType="solid">
        <fgColor rgb="FFFFFFFF"/>
        <bgColor rgb="FFEBF5FB"/>
      </patternFill>
    </fill>
    <fill>
      <patternFill patternType="solid">
        <fgColor rgb="FFEBF5FB"/>
        <bgColor rgb="FFFFFFFF"/>
      </patternFill>
    </fill>
    <fill>
      <patternFill patternType="solid">
        <fgColor rgb="FFBDD7EE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9" min="4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 t="s">
        <v>12</v>
      </c>
      <c r="C4" s="5" t="s">
        <v>13</v>
      </c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A5" s="7" t="s">
        <v>14</v>
      </c>
      <c r="B5" s="8" t="s">
        <v>15</v>
      </c>
      <c r="C5" s="9" t="s">
        <v>16</v>
      </c>
      <c r="D5" s="10"/>
      <c r="E5" s="10"/>
      <c r="F5" s="10"/>
      <c r="G5" s="10"/>
      <c r="H5" s="10"/>
      <c r="I5" s="10"/>
    </row>
    <row r="6" customFormat="false" ht="18" hidden="false" customHeight="true" outlineLevel="0" collapsed="false">
      <c r="A6" s="11" t="s">
        <v>17</v>
      </c>
      <c r="B6" s="12" t="s">
        <v>18</v>
      </c>
      <c r="C6" s="13" t="s">
        <v>19</v>
      </c>
      <c r="D6" s="14" t="n">
        <v>134100</v>
      </c>
      <c r="E6" s="14" t="n">
        <v>141600</v>
      </c>
      <c r="F6" s="14" t="n">
        <v>143400</v>
      </c>
      <c r="G6" s="14" t="n">
        <v>141300</v>
      </c>
      <c r="H6" s="14" t="n">
        <v>146100</v>
      </c>
      <c r="I6" s="14" t="n">
        <v>147700</v>
      </c>
    </row>
    <row r="7" customFormat="false" ht="18" hidden="false" customHeight="true" outlineLevel="0" collapsed="false">
      <c r="A7" s="15" t="s">
        <v>20</v>
      </c>
      <c r="B7" s="16" t="s">
        <v>21</v>
      </c>
      <c r="C7" s="17" t="s">
        <v>19</v>
      </c>
      <c r="D7" s="18" t="n">
        <v>27300</v>
      </c>
      <c r="E7" s="18" t="n">
        <v>28800</v>
      </c>
      <c r="F7" s="18" t="n">
        <v>28200</v>
      </c>
      <c r="G7" s="18" t="n">
        <v>29300</v>
      </c>
      <c r="H7" s="18" t="n">
        <v>29800</v>
      </c>
      <c r="I7" s="18" t="n">
        <v>30300</v>
      </c>
    </row>
    <row r="8" customFormat="false" ht="18" hidden="false" customHeight="true" outlineLevel="0" collapsed="false">
      <c r="A8" s="11" t="s">
        <v>22</v>
      </c>
      <c r="B8" s="12" t="s">
        <v>23</v>
      </c>
      <c r="C8" s="13" t="s">
        <v>19</v>
      </c>
      <c r="D8" s="14" t="n">
        <v>10000</v>
      </c>
      <c r="E8" s="14" t="n">
        <v>10000</v>
      </c>
      <c r="F8" s="14" t="n">
        <v>10500</v>
      </c>
      <c r="G8" s="14" t="n">
        <v>10500</v>
      </c>
      <c r="H8" s="14" t="n">
        <v>11200</v>
      </c>
      <c r="I8" s="14" t="n">
        <v>10900</v>
      </c>
    </row>
    <row r="9" customFormat="false" ht="18" hidden="false" customHeight="true" outlineLevel="0" collapsed="false">
      <c r="A9" s="15" t="s">
        <v>24</v>
      </c>
      <c r="B9" s="16" t="s">
        <v>25</v>
      </c>
      <c r="C9" s="17" t="s">
        <v>19</v>
      </c>
      <c r="D9" s="18" t="n">
        <v>154900</v>
      </c>
      <c r="E9" s="18" t="n">
        <v>161100</v>
      </c>
      <c r="F9" s="18" t="n">
        <v>166700</v>
      </c>
      <c r="G9" s="18" t="n">
        <v>164900</v>
      </c>
      <c r="H9" s="18" t="n">
        <v>166400</v>
      </c>
      <c r="I9" s="18" t="n">
        <v>168400</v>
      </c>
    </row>
    <row r="10" customFormat="false" ht="18" hidden="false" customHeight="true" outlineLevel="0" collapsed="false">
      <c r="A10" s="11" t="s">
        <v>26</v>
      </c>
      <c r="B10" s="12" t="s">
        <v>27</v>
      </c>
      <c r="C10" s="13" t="s">
        <v>19</v>
      </c>
      <c r="D10" s="14" t="n">
        <v>61900</v>
      </c>
      <c r="E10" s="14" t="n">
        <v>63500</v>
      </c>
      <c r="F10" s="14" t="n">
        <v>65500</v>
      </c>
      <c r="G10" s="14" t="n">
        <v>66300</v>
      </c>
      <c r="H10" s="14" t="n">
        <v>67600</v>
      </c>
      <c r="I10" s="14" t="n">
        <v>67000</v>
      </c>
    </row>
    <row r="11" customFormat="false" ht="18" hidden="false" customHeight="true" outlineLevel="0" collapsed="false">
      <c r="A11" s="15" t="s">
        <v>28</v>
      </c>
      <c r="B11" s="16" t="s">
        <v>29</v>
      </c>
      <c r="C11" s="17" t="s">
        <v>19</v>
      </c>
      <c r="D11" s="18" t="n">
        <v>54900</v>
      </c>
      <c r="E11" s="18" t="n">
        <v>57300</v>
      </c>
      <c r="F11" s="18" t="n">
        <v>56200</v>
      </c>
      <c r="G11" s="18" t="n">
        <v>57900</v>
      </c>
      <c r="H11" s="18" t="n">
        <v>60100</v>
      </c>
      <c r="I11" s="18" t="n">
        <v>61300</v>
      </c>
    </row>
    <row r="12" customFormat="false" ht="18" hidden="false" customHeight="true" outlineLevel="0" collapsed="false">
      <c r="A12" s="11" t="s">
        <v>30</v>
      </c>
      <c r="B12" s="12" t="s">
        <v>31</v>
      </c>
      <c r="C12" s="13" t="s">
        <v>19</v>
      </c>
      <c r="D12" s="14" t="n">
        <v>51300</v>
      </c>
      <c r="E12" s="14" t="n">
        <v>50400</v>
      </c>
      <c r="F12" s="14" t="n">
        <v>53100</v>
      </c>
      <c r="G12" s="14" t="n">
        <v>53800</v>
      </c>
      <c r="H12" s="14" t="n">
        <v>54000</v>
      </c>
      <c r="I12" s="14" t="n">
        <v>55700</v>
      </c>
    </row>
    <row r="13" customFormat="false" ht="18" hidden="false" customHeight="true" outlineLevel="0" collapsed="false">
      <c r="A13" s="15" t="s">
        <v>32</v>
      </c>
      <c r="B13" s="16" t="s">
        <v>33</v>
      </c>
      <c r="C13" s="17" t="s">
        <v>19</v>
      </c>
      <c r="D13" s="18" t="n">
        <v>33000</v>
      </c>
      <c r="E13" s="18" t="n">
        <v>35000</v>
      </c>
      <c r="F13" s="18" t="n">
        <v>35200</v>
      </c>
      <c r="G13" s="18" t="n">
        <v>34900</v>
      </c>
      <c r="H13" s="18" t="n">
        <v>35800</v>
      </c>
      <c r="I13" s="18" t="n">
        <v>37400</v>
      </c>
    </row>
    <row r="14" customFormat="false" ht="18" hidden="false" customHeight="true" outlineLevel="0" collapsed="false">
      <c r="A14" s="11" t="s">
        <v>34</v>
      </c>
      <c r="B14" s="12" t="s">
        <v>35</v>
      </c>
      <c r="C14" s="13" t="s">
        <v>19</v>
      </c>
      <c r="D14" s="14" t="n">
        <v>151600</v>
      </c>
      <c r="E14" s="14" t="n">
        <v>161900</v>
      </c>
      <c r="F14" s="14" t="n">
        <v>164900</v>
      </c>
      <c r="G14" s="14" t="n">
        <v>164200</v>
      </c>
      <c r="H14" s="14" t="n">
        <v>164200</v>
      </c>
      <c r="I14" s="14" t="n">
        <v>175200</v>
      </c>
    </row>
    <row r="15" customFormat="false" ht="18" hidden="false" customHeight="true" outlineLevel="0" collapsed="false">
      <c r="A15" s="19" t="s">
        <v>14</v>
      </c>
      <c r="B15" s="20" t="s">
        <v>36</v>
      </c>
      <c r="C15" s="21" t="s">
        <v>37</v>
      </c>
      <c r="D15" s="22" t="n">
        <f aca="false">D6+D7+D8+D9+D10+D11+D12+D13+D14</f>
        <v>679000</v>
      </c>
      <c r="E15" s="22" t="n">
        <f aca="false">E6+E7+E8+E9+E10+E11+E12+E13+E14</f>
        <v>709600</v>
      </c>
      <c r="F15" s="22" t="n">
        <f aca="false">F6+F7+F8+F9+F10+F11+F12+F13+F14</f>
        <v>723700</v>
      </c>
      <c r="G15" s="22" t="n">
        <f aca="false">G6+G7+G8+G9+G10+G11+G12+G13+G14</f>
        <v>723100</v>
      </c>
      <c r="H15" s="22" t="n">
        <f aca="false">H6+H7+H8+H9+H10+H11+H12+H13+H14</f>
        <v>735200</v>
      </c>
      <c r="I15" s="22" t="n">
        <f aca="false">I6+I7+I8+I9+I10+I11+I12+I13+I14</f>
        <v>753900</v>
      </c>
    </row>
    <row r="16" customFormat="false" ht="18" hidden="false" customHeight="true" outlineLevel="0" collapsed="false">
      <c r="A16" s="7" t="s">
        <v>38</v>
      </c>
      <c r="B16" s="8" t="s">
        <v>39</v>
      </c>
      <c r="C16" s="9" t="s">
        <v>16</v>
      </c>
      <c r="D16" s="10"/>
      <c r="E16" s="10"/>
      <c r="F16" s="10"/>
      <c r="G16" s="10"/>
      <c r="H16" s="10"/>
      <c r="I16" s="10"/>
    </row>
    <row r="17" customFormat="false" ht="18" hidden="false" customHeight="true" outlineLevel="0" collapsed="false">
      <c r="A17" s="15" t="s">
        <v>40</v>
      </c>
      <c r="B17" s="16" t="s">
        <v>41</v>
      </c>
      <c r="C17" s="17" t="s">
        <v>19</v>
      </c>
      <c r="D17" s="18" t="n">
        <v>26000</v>
      </c>
      <c r="E17" s="18" t="n">
        <v>26800</v>
      </c>
      <c r="F17" s="18" t="n">
        <v>26500</v>
      </c>
      <c r="G17" s="18" t="n">
        <v>27500</v>
      </c>
      <c r="H17" s="18" t="n">
        <v>28600</v>
      </c>
      <c r="I17" s="18" t="n">
        <v>28700</v>
      </c>
    </row>
    <row r="18" customFormat="false" ht="18" hidden="false" customHeight="true" outlineLevel="0" collapsed="false">
      <c r="A18" s="11" t="s">
        <v>42</v>
      </c>
      <c r="B18" s="12" t="s">
        <v>43</v>
      </c>
      <c r="C18" s="13" t="s">
        <v>19</v>
      </c>
      <c r="D18" s="14" t="n">
        <v>140400</v>
      </c>
      <c r="E18" s="14" t="n">
        <v>143300</v>
      </c>
      <c r="F18" s="14" t="n">
        <v>151300</v>
      </c>
      <c r="G18" s="14" t="n">
        <v>152400</v>
      </c>
      <c r="H18" s="14" t="n">
        <v>157100</v>
      </c>
      <c r="I18" s="14" t="n">
        <v>157200</v>
      </c>
    </row>
    <row r="19" customFormat="false" ht="18" hidden="false" customHeight="true" outlineLevel="0" collapsed="false">
      <c r="A19" s="15" t="s">
        <v>44</v>
      </c>
      <c r="B19" s="16" t="s">
        <v>45</v>
      </c>
      <c r="C19" s="17" t="s">
        <v>19</v>
      </c>
      <c r="D19" s="18" t="n">
        <v>157400</v>
      </c>
      <c r="E19" s="18" t="n">
        <v>158400</v>
      </c>
      <c r="F19" s="18" t="n">
        <v>167500</v>
      </c>
      <c r="G19" s="18" t="n">
        <v>162600</v>
      </c>
      <c r="H19" s="18" t="n">
        <v>169100</v>
      </c>
      <c r="I19" s="18" t="n">
        <v>174700</v>
      </c>
    </row>
    <row r="20" customFormat="false" ht="18" hidden="false" customHeight="true" outlineLevel="0" collapsed="false">
      <c r="A20" s="11" t="s">
        <v>46</v>
      </c>
      <c r="B20" s="12" t="s">
        <v>47</v>
      </c>
      <c r="C20" s="13" t="s">
        <v>19</v>
      </c>
      <c r="D20" s="14" t="n">
        <v>191800</v>
      </c>
      <c r="E20" s="14" t="n">
        <v>187500</v>
      </c>
      <c r="F20" s="14" t="n">
        <v>191400</v>
      </c>
      <c r="G20" s="14" t="n">
        <v>201000</v>
      </c>
      <c r="H20" s="14" t="n">
        <v>203800</v>
      </c>
      <c r="I20" s="14" t="n">
        <v>205200</v>
      </c>
    </row>
    <row r="21" customFormat="false" ht="18" hidden="false" customHeight="true" outlineLevel="0" collapsed="false">
      <c r="A21" s="15" t="s">
        <v>48</v>
      </c>
      <c r="B21" s="16" t="s">
        <v>49</v>
      </c>
      <c r="C21" s="17" t="s">
        <v>19</v>
      </c>
      <c r="D21" s="18" t="n">
        <v>117300</v>
      </c>
      <c r="E21" s="18" t="n">
        <v>118700</v>
      </c>
      <c r="F21" s="18" t="n">
        <v>119500</v>
      </c>
      <c r="G21" s="18" t="n">
        <v>124000</v>
      </c>
      <c r="H21" s="18" t="n">
        <v>129000</v>
      </c>
      <c r="I21" s="18" t="n">
        <v>129500</v>
      </c>
    </row>
    <row r="22" customFormat="false" ht="18" hidden="false" customHeight="true" outlineLevel="0" collapsed="false">
      <c r="A22" s="11" t="s">
        <v>50</v>
      </c>
      <c r="B22" s="12" t="s">
        <v>51</v>
      </c>
      <c r="C22" s="13" t="s">
        <v>19</v>
      </c>
      <c r="D22" s="14" t="n">
        <v>-22300</v>
      </c>
      <c r="E22" s="14" t="n">
        <v>-23800</v>
      </c>
      <c r="F22" s="14" t="n">
        <v>-24100</v>
      </c>
      <c r="G22" s="14" t="n">
        <v>-24500</v>
      </c>
      <c r="H22" s="14" t="n">
        <v>-24400</v>
      </c>
      <c r="I22" s="14" t="n">
        <v>-24800</v>
      </c>
    </row>
    <row r="23" customFormat="false" ht="18" hidden="false" customHeight="true" outlineLevel="0" collapsed="false">
      <c r="A23" s="15" t="s">
        <v>52</v>
      </c>
      <c r="B23" s="16" t="s">
        <v>53</v>
      </c>
      <c r="C23" s="17" t="s">
        <v>19</v>
      </c>
      <c r="D23" s="18" t="n">
        <v>123300</v>
      </c>
      <c r="E23" s="18" t="n">
        <v>124700</v>
      </c>
      <c r="F23" s="18" t="n">
        <v>132600</v>
      </c>
      <c r="G23" s="18" t="n">
        <v>135100</v>
      </c>
      <c r="H23" s="18" t="n">
        <v>139500</v>
      </c>
      <c r="I23" s="18" t="n">
        <v>140500</v>
      </c>
    </row>
    <row r="24" customFormat="false" ht="18" hidden="false" customHeight="true" outlineLevel="0" collapsed="false">
      <c r="A24" s="11" t="s">
        <v>54</v>
      </c>
      <c r="B24" s="12" t="s">
        <v>55</v>
      </c>
      <c r="C24" s="13" t="s">
        <v>19</v>
      </c>
      <c r="D24" s="14" t="n">
        <v>91400</v>
      </c>
      <c r="E24" s="14" t="n">
        <v>91100</v>
      </c>
      <c r="F24" s="14" t="n">
        <v>95700</v>
      </c>
      <c r="G24" s="14" t="n">
        <v>98800</v>
      </c>
      <c r="H24" s="14" t="n">
        <v>98800</v>
      </c>
      <c r="I24" s="14" t="n">
        <v>98900</v>
      </c>
    </row>
    <row r="25" customFormat="false" ht="18" hidden="false" customHeight="true" outlineLevel="0" collapsed="false">
      <c r="A25" s="19" t="s">
        <v>38</v>
      </c>
      <c r="B25" s="20" t="s">
        <v>56</v>
      </c>
      <c r="C25" s="21" t="s">
        <v>37</v>
      </c>
      <c r="D25" s="22" t="n">
        <f aca="false">D17+D18+D19+D20+D21+D22+D23+D24</f>
        <v>825300</v>
      </c>
      <c r="E25" s="22" t="n">
        <f aca="false">E17+E18+E19+E20+E21+E22+E23+E24</f>
        <v>826700</v>
      </c>
      <c r="F25" s="22" t="n">
        <f aca="false">F17+F18+F19+F20+F21+F22+F23+F24</f>
        <v>860400</v>
      </c>
      <c r="G25" s="22" t="n">
        <f aca="false">G17+G18+G19+G20+G21+G22+G23+G24</f>
        <v>876900</v>
      </c>
      <c r="H25" s="22" t="n">
        <f aca="false">H17+H18+H19+H20+H21+H22+H23+H24</f>
        <v>901500</v>
      </c>
      <c r="I25" s="22" t="n">
        <f aca="false">I17+I18+I19+I20+I21+I22+I23+I24</f>
        <v>909900</v>
      </c>
    </row>
    <row r="26" customFormat="false" ht="18" hidden="false" customHeight="true" outlineLevel="0" collapsed="false">
      <c r="A26" s="23" t="s">
        <v>11</v>
      </c>
      <c r="B26" s="23" t="s">
        <v>57</v>
      </c>
      <c r="C26" s="24" t="s">
        <v>58</v>
      </c>
      <c r="D26" s="25" t="n">
        <f aca="false">D15+D25</f>
        <v>1504300</v>
      </c>
      <c r="E26" s="25" t="n">
        <f aca="false">E15+E25</f>
        <v>1536300</v>
      </c>
      <c r="F26" s="25" t="n">
        <f aca="false">F15+F25</f>
        <v>1584100</v>
      </c>
      <c r="G26" s="25" t="n">
        <f aca="false">G15+G25</f>
        <v>1600000</v>
      </c>
      <c r="H26" s="25" t="n">
        <f aca="false">H15+H25</f>
        <v>1636700</v>
      </c>
      <c r="I26" s="25" t="n">
        <f aca="false">I15+I25</f>
        <v>1663800</v>
      </c>
    </row>
    <row r="27" customFormat="false" ht="18" hidden="false" customHeight="true" outlineLevel="0" collapsed="false">
      <c r="A27" s="4" t="s">
        <v>59</v>
      </c>
      <c r="B27" s="4" t="s">
        <v>60</v>
      </c>
      <c r="C27" s="5" t="s">
        <v>13</v>
      </c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7" t="s">
        <v>61</v>
      </c>
      <c r="B28" s="8" t="s">
        <v>62</v>
      </c>
      <c r="C28" s="9" t="s">
        <v>16</v>
      </c>
      <c r="D28" s="10"/>
      <c r="E28" s="10"/>
      <c r="F28" s="10"/>
      <c r="G28" s="10"/>
      <c r="H28" s="10"/>
      <c r="I28" s="10"/>
    </row>
    <row r="29" customFormat="false" ht="18" hidden="false" customHeight="true" outlineLevel="0" collapsed="false">
      <c r="A29" s="15" t="s">
        <v>63</v>
      </c>
      <c r="B29" s="16" t="s">
        <v>64</v>
      </c>
      <c r="C29" s="17" t="s">
        <v>19</v>
      </c>
      <c r="D29" s="18" t="n">
        <v>11400</v>
      </c>
      <c r="E29" s="18" t="n">
        <v>11500</v>
      </c>
      <c r="F29" s="18" t="n">
        <v>12300</v>
      </c>
      <c r="G29" s="18" t="n">
        <v>12500</v>
      </c>
      <c r="H29" s="18" t="n">
        <v>12700</v>
      </c>
      <c r="I29" s="18" t="n">
        <v>12700</v>
      </c>
    </row>
    <row r="30" customFormat="false" ht="18" hidden="false" customHeight="true" outlineLevel="0" collapsed="false">
      <c r="A30" s="11" t="s">
        <v>65</v>
      </c>
      <c r="B30" s="12" t="s">
        <v>66</v>
      </c>
      <c r="C30" s="13" t="s">
        <v>19</v>
      </c>
      <c r="D30" s="14" t="n">
        <v>11100</v>
      </c>
      <c r="E30" s="14" t="n">
        <v>11100</v>
      </c>
      <c r="F30" s="14" t="n">
        <v>11500</v>
      </c>
      <c r="G30" s="14" t="n">
        <v>12100</v>
      </c>
      <c r="H30" s="14" t="n">
        <v>12200</v>
      </c>
      <c r="I30" s="14" t="n">
        <v>12000</v>
      </c>
    </row>
    <row r="31" customFormat="false" ht="18" hidden="false" customHeight="true" outlineLevel="0" collapsed="false">
      <c r="A31" s="15" t="s">
        <v>67</v>
      </c>
      <c r="B31" s="16" t="s">
        <v>68</v>
      </c>
      <c r="C31" s="17" t="s">
        <v>19</v>
      </c>
      <c r="D31" s="18" t="n">
        <v>23700</v>
      </c>
      <c r="E31" s="18" t="n">
        <v>24700</v>
      </c>
      <c r="F31" s="18" t="n">
        <v>24500</v>
      </c>
      <c r="G31" s="18" t="n">
        <v>25900</v>
      </c>
      <c r="H31" s="18" t="n">
        <v>26500</v>
      </c>
      <c r="I31" s="18" t="n">
        <v>27200</v>
      </c>
    </row>
    <row r="32" customFormat="false" ht="18" hidden="false" customHeight="true" outlineLevel="0" collapsed="false">
      <c r="A32" s="11" t="s">
        <v>69</v>
      </c>
      <c r="B32" s="12" t="s">
        <v>70</v>
      </c>
      <c r="C32" s="13" t="s">
        <v>19</v>
      </c>
      <c r="D32" s="14" t="n">
        <v>49800</v>
      </c>
      <c r="E32" s="14" t="n">
        <v>49600</v>
      </c>
      <c r="F32" s="14" t="n">
        <v>52200</v>
      </c>
      <c r="G32" s="14" t="n">
        <v>54000</v>
      </c>
      <c r="H32" s="14" t="n">
        <v>52700</v>
      </c>
      <c r="I32" s="14" t="n">
        <v>54800</v>
      </c>
    </row>
    <row r="33" customFormat="false" ht="18" hidden="false" customHeight="true" outlineLevel="0" collapsed="false">
      <c r="A33" s="15" t="s">
        <v>71</v>
      </c>
      <c r="B33" s="16" t="s">
        <v>72</v>
      </c>
      <c r="C33" s="17" t="s">
        <v>19</v>
      </c>
      <c r="D33" s="18" t="n">
        <v>52900</v>
      </c>
      <c r="E33" s="18" t="n">
        <v>55100</v>
      </c>
      <c r="F33" s="18" t="n">
        <v>56100</v>
      </c>
      <c r="G33" s="18" t="n">
        <v>56600</v>
      </c>
      <c r="H33" s="18" t="n">
        <v>57400</v>
      </c>
      <c r="I33" s="18" t="n">
        <v>58500</v>
      </c>
    </row>
    <row r="34" customFormat="false" ht="18" hidden="false" customHeight="true" outlineLevel="0" collapsed="false">
      <c r="A34" s="11" t="s">
        <v>73</v>
      </c>
      <c r="B34" s="12" t="s">
        <v>74</v>
      </c>
      <c r="C34" s="13" t="s">
        <v>19</v>
      </c>
      <c r="D34" s="14" t="n">
        <v>107700</v>
      </c>
      <c r="E34" s="14" t="n">
        <v>111700</v>
      </c>
      <c r="F34" s="14" t="n">
        <v>111900</v>
      </c>
      <c r="G34" s="14" t="n">
        <v>117500</v>
      </c>
      <c r="H34" s="14" t="n">
        <v>116800</v>
      </c>
      <c r="I34" s="14" t="n">
        <v>117600</v>
      </c>
    </row>
    <row r="35" customFormat="false" ht="18" hidden="false" customHeight="true" outlineLevel="0" collapsed="false">
      <c r="A35" s="15" t="s">
        <v>75</v>
      </c>
      <c r="B35" s="16" t="s">
        <v>76</v>
      </c>
      <c r="C35" s="17" t="s">
        <v>19</v>
      </c>
      <c r="D35" s="18" t="n">
        <v>124800</v>
      </c>
      <c r="E35" s="18" t="n">
        <v>127100</v>
      </c>
      <c r="F35" s="18" t="n">
        <v>133700</v>
      </c>
      <c r="G35" s="18" t="n">
        <v>136600</v>
      </c>
      <c r="H35" s="18" t="n">
        <v>134700</v>
      </c>
      <c r="I35" s="18" t="n">
        <v>142600</v>
      </c>
    </row>
    <row r="36" customFormat="false" ht="18" hidden="false" customHeight="true" outlineLevel="0" collapsed="false">
      <c r="A36" s="11" t="s">
        <v>77</v>
      </c>
      <c r="B36" s="12" t="s">
        <v>78</v>
      </c>
      <c r="C36" s="13" t="s">
        <v>19</v>
      </c>
      <c r="D36" s="14" t="n">
        <v>10100</v>
      </c>
      <c r="E36" s="14" t="n">
        <v>10300</v>
      </c>
      <c r="F36" s="14" t="n">
        <v>10500</v>
      </c>
      <c r="G36" s="14" t="n">
        <v>10900</v>
      </c>
      <c r="H36" s="14" t="n">
        <v>11200</v>
      </c>
      <c r="I36" s="14" t="n">
        <v>11300</v>
      </c>
    </row>
    <row r="37" customFormat="false" ht="18" hidden="false" customHeight="true" outlineLevel="0" collapsed="false">
      <c r="A37" s="19" t="s">
        <v>61</v>
      </c>
      <c r="B37" s="20" t="s">
        <v>79</v>
      </c>
      <c r="C37" s="21" t="s">
        <v>37</v>
      </c>
      <c r="D37" s="22" t="n">
        <f aca="false">D29+D30+D31+D32+D33+D34+D35+D36</f>
        <v>391500</v>
      </c>
      <c r="E37" s="22" t="n">
        <f aca="false">E29+E30+E31+E32+E33+E34+E35+E36</f>
        <v>401100</v>
      </c>
      <c r="F37" s="22" t="n">
        <f aca="false">F29+F30+F31+F32+F33+F34+F35+F36</f>
        <v>412700</v>
      </c>
      <c r="G37" s="22" t="n">
        <f aca="false">G29+G30+G31+G32+G33+G34+G35+G36</f>
        <v>426100</v>
      </c>
      <c r="H37" s="22" t="n">
        <f aca="false">H29+H30+H31+H32+H33+H34+H35+H36</f>
        <v>424200</v>
      </c>
      <c r="I37" s="22" t="n">
        <f aca="false">I29+I30+I31+I32+I33+I34+I35+I36</f>
        <v>436700</v>
      </c>
    </row>
    <row r="38" customFormat="false" ht="18" hidden="false" customHeight="true" outlineLevel="0" collapsed="false">
      <c r="A38" s="7" t="s">
        <v>80</v>
      </c>
      <c r="B38" s="8" t="s">
        <v>81</v>
      </c>
      <c r="C38" s="9" t="s">
        <v>16</v>
      </c>
      <c r="D38" s="10"/>
      <c r="E38" s="10"/>
      <c r="F38" s="10"/>
      <c r="G38" s="10"/>
      <c r="H38" s="10"/>
      <c r="I38" s="10"/>
    </row>
    <row r="39" customFormat="false" ht="18" hidden="false" customHeight="true" outlineLevel="0" collapsed="false">
      <c r="A39" s="15" t="s">
        <v>82</v>
      </c>
      <c r="B39" s="16" t="s">
        <v>83</v>
      </c>
      <c r="C39" s="17" t="s">
        <v>19</v>
      </c>
      <c r="D39" s="18" t="n">
        <v>119800</v>
      </c>
      <c r="E39" s="18" t="n">
        <v>122600</v>
      </c>
      <c r="F39" s="18" t="n">
        <v>126300</v>
      </c>
      <c r="G39" s="18" t="n">
        <v>129800</v>
      </c>
      <c r="H39" s="18" t="n">
        <v>130000</v>
      </c>
      <c r="I39" s="18" t="n">
        <v>130000</v>
      </c>
    </row>
    <row r="40" customFormat="false" ht="18" hidden="false" customHeight="true" outlineLevel="0" collapsed="false">
      <c r="A40" s="11" t="s">
        <v>84</v>
      </c>
      <c r="B40" s="12" t="s">
        <v>85</v>
      </c>
      <c r="C40" s="13" t="s">
        <v>19</v>
      </c>
      <c r="D40" s="14" t="n">
        <v>45600</v>
      </c>
      <c r="E40" s="14" t="n">
        <v>46400</v>
      </c>
      <c r="F40" s="14" t="n">
        <v>46400</v>
      </c>
      <c r="G40" s="14" t="n">
        <v>48900</v>
      </c>
      <c r="H40" s="14" t="n">
        <v>49000</v>
      </c>
      <c r="I40" s="14" t="n">
        <v>50000</v>
      </c>
    </row>
    <row r="41" customFormat="false" ht="18" hidden="false" customHeight="true" outlineLevel="0" collapsed="false">
      <c r="A41" s="15" t="s">
        <v>86</v>
      </c>
      <c r="B41" s="16" t="s">
        <v>87</v>
      </c>
      <c r="C41" s="17" t="s">
        <v>19</v>
      </c>
      <c r="D41" s="18" t="n">
        <v>154900</v>
      </c>
      <c r="E41" s="18" t="n">
        <v>150600</v>
      </c>
      <c r="F41" s="18" t="n">
        <v>159100</v>
      </c>
      <c r="G41" s="18" t="n">
        <v>162000</v>
      </c>
      <c r="H41" s="18" t="n">
        <v>159700</v>
      </c>
      <c r="I41" s="18" t="n">
        <v>168800</v>
      </c>
    </row>
    <row r="42" customFormat="false" ht="18" hidden="false" customHeight="true" outlineLevel="0" collapsed="false">
      <c r="A42" s="19" t="s">
        <v>80</v>
      </c>
      <c r="B42" s="20" t="s">
        <v>88</v>
      </c>
      <c r="C42" s="21" t="s">
        <v>37</v>
      </c>
      <c r="D42" s="22" t="n">
        <f aca="false">D39+D40+D41</f>
        <v>320300</v>
      </c>
      <c r="E42" s="22" t="n">
        <f aca="false">E39+E40+E41</f>
        <v>319600</v>
      </c>
      <c r="F42" s="22" t="n">
        <f aca="false">F39+F40+F41</f>
        <v>331800</v>
      </c>
      <c r="G42" s="22" t="n">
        <f aca="false">G39+G40+G41</f>
        <v>340700</v>
      </c>
      <c r="H42" s="22" t="n">
        <f aca="false">H39+H40+H41</f>
        <v>338700</v>
      </c>
      <c r="I42" s="22" t="n">
        <f aca="false">I39+I40+I41</f>
        <v>348800</v>
      </c>
    </row>
    <row r="43" customFormat="false" ht="18" hidden="false" customHeight="true" outlineLevel="0" collapsed="false">
      <c r="A43" s="23" t="s">
        <v>59</v>
      </c>
      <c r="B43" s="23" t="s">
        <v>89</v>
      </c>
      <c r="C43" s="24" t="s">
        <v>58</v>
      </c>
      <c r="D43" s="25" t="n">
        <f aca="false">D37+D42</f>
        <v>711800</v>
      </c>
      <c r="E43" s="25" t="n">
        <f aca="false">E37+E42</f>
        <v>720700</v>
      </c>
      <c r="F43" s="25" t="n">
        <f aca="false">F37+F42</f>
        <v>744500</v>
      </c>
      <c r="G43" s="25" t="n">
        <f aca="false">G37+G42</f>
        <v>766800</v>
      </c>
      <c r="H43" s="25" t="n">
        <f aca="false">H37+H42</f>
        <v>762900</v>
      </c>
      <c r="I43" s="25" t="n">
        <f aca="false">I37+I42</f>
        <v>785500</v>
      </c>
    </row>
    <row r="44" customFormat="false" ht="18" hidden="false" customHeight="true" outlineLevel="0" collapsed="false">
      <c r="A44" s="4" t="s">
        <v>90</v>
      </c>
      <c r="B44" s="4" t="s">
        <v>91</v>
      </c>
      <c r="C44" s="5" t="s">
        <v>13</v>
      </c>
      <c r="D44" s="6"/>
      <c r="E44" s="6"/>
      <c r="F44" s="6"/>
      <c r="G44" s="6"/>
      <c r="H44" s="6"/>
      <c r="I44" s="6"/>
    </row>
    <row r="45" customFormat="false" ht="18" hidden="false" customHeight="true" outlineLevel="0" collapsed="false">
      <c r="A45" s="7" t="s">
        <v>92</v>
      </c>
      <c r="B45" s="8" t="s">
        <v>93</v>
      </c>
      <c r="C45" s="9" t="s">
        <v>16</v>
      </c>
      <c r="D45" s="10"/>
      <c r="E45" s="10"/>
      <c r="F45" s="10"/>
      <c r="G45" s="10"/>
      <c r="H45" s="10"/>
      <c r="I45" s="10"/>
    </row>
    <row r="46" customFormat="false" ht="18" hidden="false" customHeight="true" outlineLevel="0" collapsed="false">
      <c r="A46" s="11" t="s">
        <v>94</v>
      </c>
      <c r="B46" s="12" t="s">
        <v>95</v>
      </c>
      <c r="C46" s="13" t="s">
        <v>19</v>
      </c>
      <c r="D46" s="14" t="n">
        <v>140500</v>
      </c>
      <c r="E46" s="14" t="n">
        <v>137500</v>
      </c>
      <c r="F46" s="14" t="n">
        <v>141000</v>
      </c>
      <c r="G46" s="14" t="n">
        <v>146600</v>
      </c>
      <c r="H46" s="14" t="n">
        <v>146100</v>
      </c>
      <c r="I46" s="14" t="n">
        <v>149200</v>
      </c>
    </row>
    <row r="47" customFormat="false" ht="18" hidden="false" customHeight="true" outlineLevel="0" collapsed="false">
      <c r="A47" s="15" t="s">
        <v>96</v>
      </c>
      <c r="B47" s="16" t="s">
        <v>97</v>
      </c>
      <c r="C47" s="17" t="s">
        <v>19</v>
      </c>
      <c r="D47" s="18" t="n">
        <v>148300</v>
      </c>
      <c r="E47" s="18" t="n">
        <v>154900</v>
      </c>
      <c r="F47" s="18" t="n">
        <v>150800</v>
      </c>
      <c r="G47" s="18" t="n">
        <v>160300</v>
      </c>
      <c r="H47" s="18" t="n">
        <v>163700</v>
      </c>
      <c r="I47" s="18" t="n">
        <v>159900</v>
      </c>
    </row>
    <row r="48" customFormat="false" ht="18" hidden="false" customHeight="true" outlineLevel="0" collapsed="false">
      <c r="A48" s="11" t="s">
        <v>98</v>
      </c>
      <c r="B48" s="12" t="s">
        <v>99</v>
      </c>
      <c r="C48" s="13" t="s">
        <v>19</v>
      </c>
      <c r="D48" s="14" t="n">
        <v>117700</v>
      </c>
      <c r="E48" s="14" t="n">
        <v>119200</v>
      </c>
      <c r="F48" s="14" t="n">
        <v>117900</v>
      </c>
      <c r="G48" s="14" t="n">
        <v>120800</v>
      </c>
      <c r="H48" s="14" t="n">
        <v>127700</v>
      </c>
      <c r="I48" s="14" t="n">
        <v>126400</v>
      </c>
    </row>
    <row r="49" customFormat="false" ht="18" hidden="false" customHeight="true" outlineLevel="0" collapsed="false">
      <c r="A49" s="19" t="s">
        <v>92</v>
      </c>
      <c r="B49" s="20" t="s">
        <v>100</v>
      </c>
      <c r="C49" s="21" t="s">
        <v>37</v>
      </c>
      <c r="D49" s="22" t="n">
        <f aca="false">D46+D47+D48</f>
        <v>406500</v>
      </c>
      <c r="E49" s="22" t="n">
        <f aca="false">E46+E47+E48</f>
        <v>411600</v>
      </c>
      <c r="F49" s="22" t="n">
        <f aca="false">F46+F47+F48</f>
        <v>409700</v>
      </c>
      <c r="G49" s="22" t="n">
        <f aca="false">G46+G47+G48</f>
        <v>427700</v>
      </c>
      <c r="H49" s="22" t="n">
        <f aca="false">H46+H47+H48</f>
        <v>437500</v>
      </c>
      <c r="I49" s="22" t="n">
        <f aca="false">I46+I47+I48</f>
        <v>435500</v>
      </c>
    </row>
    <row r="50" customFormat="false" ht="18" hidden="false" customHeight="true" outlineLevel="0" collapsed="false">
      <c r="A50" s="7" t="s">
        <v>101</v>
      </c>
      <c r="B50" s="8" t="s">
        <v>102</v>
      </c>
      <c r="C50" s="9" t="s">
        <v>16</v>
      </c>
      <c r="D50" s="10"/>
      <c r="E50" s="10"/>
      <c r="F50" s="10"/>
      <c r="G50" s="10"/>
      <c r="H50" s="10"/>
      <c r="I50" s="10"/>
    </row>
    <row r="51" customFormat="false" ht="18" hidden="false" customHeight="true" outlineLevel="0" collapsed="false">
      <c r="A51" s="15" t="s">
        <v>103</v>
      </c>
      <c r="B51" s="16" t="s">
        <v>104</v>
      </c>
      <c r="C51" s="17" t="s">
        <v>19</v>
      </c>
      <c r="D51" s="18" t="n">
        <v>-90400</v>
      </c>
      <c r="E51" s="18" t="n">
        <v>-92600</v>
      </c>
      <c r="F51" s="18" t="n">
        <v>-96500</v>
      </c>
      <c r="G51" s="18" t="n">
        <v>-98500</v>
      </c>
      <c r="H51" s="18" t="n">
        <v>-96300</v>
      </c>
      <c r="I51" s="18" t="n">
        <v>-97300</v>
      </c>
    </row>
    <row r="52" customFormat="false" ht="18" hidden="false" customHeight="true" outlineLevel="0" collapsed="false">
      <c r="A52" s="11" t="s">
        <v>105</v>
      </c>
      <c r="B52" s="12" t="s">
        <v>106</v>
      </c>
      <c r="C52" s="13" t="s">
        <v>19</v>
      </c>
      <c r="D52" s="14" t="n">
        <v>49800</v>
      </c>
      <c r="E52" s="14" t="n">
        <v>52400</v>
      </c>
      <c r="F52" s="14" t="n">
        <v>53000</v>
      </c>
      <c r="G52" s="14" t="n">
        <v>52500</v>
      </c>
      <c r="H52" s="14" t="n">
        <v>54700</v>
      </c>
      <c r="I52" s="14" t="n">
        <v>55800</v>
      </c>
    </row>
    <row r="53" customFormat="false" ht="18" hidden="false" customHeight="true" outlineLevel="0" collapsed="false">
      <c r="A53" s="15" t="s">
        <v>107</v>
      </c>
      <c r="B53" s="16" t="s">
        <v>108</v>
      </c>
      <c r="C53" s="17" t="s">
        <v>19</v>
      </c>
      <c r="D53" s="18" t="n">
        <v>98500</v>
      </c>
      <c r="E53" s="18" t="n">
        <v>99800</v>
      </c>
      <c r="F53" s="18" t="n">
        <v>100700</v>
      </c>
      <c r="G53" s="18" t="n">
        <v>100900</v>
      </c>
      <c r="H53" s="18" t="n">
        <v>103000</v>
      </c>
      <c r="I53" s="18" t="n">
        <v>104000</v>
      </c>
    </row>
    <row r="54" customFormat="false" ht="18" hidden="false" customHeight="true" outlineLevel="0" collapsed="false">
      <c r="A54" s="11" t="s">
        <v>109</v>
      </c>
      <c r="B54" s="12" t="s">
        <v>110</v>
      </c>
      <c r="C54" s="13" t="s">
        <v>19</v>
      </c>
      <c r="D54" s="14" t="n">
        <v>127400</v>
      </c>
      <c r="E54" s="14" t="n">
        <v>124800</v>
      </c>
      <c r="F54" s="14" t="n">
        <v>129200</v>
      </c>
      <c r="G54" s="14" t="n">
        <v>129700</v>
      </c>
      <c r="H54" s="14" t="n">
        <v>135500</v>
      </c>
      <c r="I54" s="14" t="n">
        <v>141300</v>
      </c>
    </row>
    <row r="55" customFormat="false" ht="18" hidden="false" customHeight="true" outlineLevel="0" collapsed="false">
      <c r="A55" s="19" t="s">
        <v>101</v>
      </c>
      <c r="B55" s="20" t="s">
        <v>111</v>
      </c>
      <c r="C55" s="21" t="s">
        <v>37</v>
      </c>
      <c r="D55" s="22" t="n">
        <f aca="false">D51+D52+D53+D54</f>
        <v>185300</v>
      </c>
      <c r="E55" s="22" t="n">
        <f aca="false">E51+E52+E53+E54</f>
        <v>184400</v>
      </c>
      <c r="F55" s="22" t="n">
        <f aca="false">F51+F52+F53+F54</f>
        <v>186400</v>
      </c>
      <c r="G55" s="22" t="n">
        <f aca="false">G51+G52+G53+G54</f>
        <v>184600</v>
      </c>
      <c r="H55" s="22" t="n">
        <f aca="false">H51+H52+H53+H54</f>
        <v>196900</v>
      </c>
      <c r="I55" s="22" t="n">
        <f aca="false">I51+I52+I53+I54</f>
        <v>203800</v>
      </c>
    </row>
    <row r="56" customFormat="false" ht="18" hidden="false" customHeight="true" outlineLevel="0" collapsed="false">
      <c r="A56" s="23" t="s">
        <v>90</v>
      </c>
      <c r="B56" s="23" t="s">
        <v>112</v>
      </c>
      <c r="C56" s="24" t="s">
        <v>58</v>
      </c>
      <c r="D56" s="25" t="n">
        <f aca="false">D49+D55</f>
        <v>591800</v>
      </c>
      <c r="E56" s="25" t="n">
        <f aca="false">E49+E55</f>
        <v>596000</v>
      </c>
      <c r="F56" s="25" t="n">
        <f aca="false">F49+F55</f>
        <v>596100</v>
      </c>
      <c r="G56" s="25" t="n">
        <f aca="false">G49+G55</f>
        <v>612300</v>
      </c>
      <c r="H56" s="25" t="n">
        <f aca="false">H49+H55</f>
        <v>634400</v>
      </c>
      <c r="I56" s="25" t="n">
        <f aca="false">I49+I55</f>
        <v>639300</v>
      </c>
    </row>
    <row r="57" customFormat="false" ht="18" hidden="false" customHeight="true" outlineLevel="0" collapsed="false">
      <c r="A57" s="23" t="s">
        <v>113</v>
      </c>
      <c r="B57" s="23" t="s">
        <v>114</v>
      </c>
      <c r="C57" s="24" t="s">
        <v>58</v>
      </c>
      <c r="D57" s="25" t="n">
        <f aca="false">D43+D56</f>
        <v>1303600</v>
      </c>
      <c r="E57" s="25" t="n">
        <f aca="false">E43+E56</f>
        <v>1316700</v>
      </c>
      <c r="F57" s="25" t="n">
        <f aca="false">F43+F56</f>
        <v>1340600</v>
      </c>
      <c r="G57" s="25" t="n">
        <f aca="false">G43+G56</f>
        <v>1379100</v>
      </c>
      <c r="H57" s="25" t="n">
        <f aca="false">H43+H56</f>
        <v>1397300</v>
      </c>
      <c r="I57" s="25" t="n">
        <f aca="false">I43+I56</f>
        <v>1424800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9.5" hidden="false" customHeight="true" outlineLevel="0" collapsed="false">
      <c r="A1" s="23" t="s">
        <v>115</v>
      </c>
      <c r="B1" s="23"/>
    </row>
    <row r="2" customFormat="false" ht="19.5" hidden="false" customHeight="true" outlineLevel="0" collapsed="false">
      <c r="A2" s="26"/>
      <c r="B2" s="26"/>
    </row>
    <row r="3" customFormat="false" ht="19.5" hidden="false" customHeight="true" outlineLevel="0" collapsed="false">
      <c r="A3" s="4" t="s">
        <v>116</v>
      </c>
      <c r="B3" s="4" t="s">
        <v>117</v>
      </c>
    </row>
    <row r="4" customFormat="false" ht="19.5" hidden="false" customHeight="true" outlineLevel="0" collapsed="false">
      <c r="A4" s="16" t="s">
        <v>118</v>
      </c>
      <c r="B4" s="16" t="s">
        <v>119</v>
      </c>
    </row>
    <row r="5" customFormat="false" ht="19.5" hidden="false" customHeight="true" outlineLevel="0" collapsed="false">
      <c r="A5" s="27" t="s">
        <v>120</v>
      </c>
      <c r="B5" s="27" t="s">
        <v>121</v>
      </c>
    </row>
    <row r="6" customFormat="false" ht="19.5" hidden="false" customHeight="true" outlineLevel="0" collapsed="false">
      <c r="A6" s="26"/>
      <c r="B6" s="26"/>
    </row>
    <row r="7" customFormat="false" ht="19.5" hidden="false" customHeight="true" outlineLevel="0" collapsed="false">
      <c r="A7" s="4" t="s">
        <v>122</v>
      </c>
      <c r="B7" s="4" t="s">
        <v>117</v>
      </c>
    </row>
    <row r="8" customFormat="false" ht="19.5" hidden="false" customHeight="true" outlineLevel="0" collapsed="false">
      <c r="A8" s="28" t="s">
        <v>123</v>
      </c>
      <c r="B8" s="28" t="s">
        <v>124</v>
      </c>
    </row>
    <row r="9" customFormat="false" ht="19.5" hidden="false" customHeight="true" outlineLevel="0" collapsed="false">
      <c r="A9" s="29" t="s">
        <v>125</v>
      </c>
      <c r="B9" s="29" t="s">
        <v>126</v>
      </c>
    </row>
    <row r="10" customFormat="false" ht="19.5" hidden="false" customHeight="true" outlineLevel="0" collapsed="false">
      <c r="A10" s="30" t="s">
        <v>127</v>
      </c>
      <c r="B10" s="30" t="s">
        <v>128</v>
      </c>
    </row>
    <row r="11" customFormat="false" ht="19.5" hidden="false" customHeight="true" outlineLevel="0" collapsed="false">
      <c r="A11" s="31" t="s">
        <v>129</v>
      </c>
      <c r="B11" s="31" t="s">
        <v>130</v>
      </c>
    </row>
    <row r="12" customFormat="false" ht="19.5" hidden="false" customHeight="true" outlineLevel="0" collapsed="false">
      <c r="A12" s="27" t="s">
        <v>131</v>
      </c>
      <c r="B12" s="27" t="s">
        <v>132</v>
      </c>
    </row>
    <row r="13" customFormat="false" ht="19.5" hidden="false" customHeight="true" outlineLevel="0" collapsed="false">
      <c r="A13" s="26"/>
      <c r="B13" s="26"/>
    </row>
    <row r="14" customFormat="false" ht="19.5" hidden="false" customHeight="true" outlineLevel="0" collapsed="false">
      <c r="A14" s="4" t="s">
        <v>133</v>
      </c>
      <c r="B14" s="4" t="s">
        <v>134</v>
      </c>
    </row>
    <row r="15" customFormat="false" ht="19.5" hidden="false" customHeight="true" outlineLevel="0" collapsed="false">
      <c r="A15" s="32" t="s">
        <v>135</v>
      </c>
      <c r="B15" s="32" t="s">
        <v>136</v>
      </c>
    </row>
    <row r="16" customFormat="false" ht="19.5" hidden="false" customHeight="true" outlineLevel="0" collapsed="false">
      <c r="A16" s="27" t="s">
        <v>137</v>
      </c>
      <c r="B16" s="27" t="s">
        <v>138</v>
      </c>
    </row>
    <row r="17" customFormat="false" ht="19.5" hidden="false" customHeight="true" outlineLevel="0" collapsed="false">
      <c r="A17" s="32" t="s">
        <v>139</v>
      </c>
      <c r="B17" s="32" t="s">
        <v>140</v>
      </c>
    </row>
    <row r="18" customFormat="false" ht="19.5" hidden="false" customHeight="true" outlineLevel="0" collapsed="false">
      <c r="A18" s="27" t="s">
        <v>141</v>
      </c>
      <c r="B18" s="27" t="s">
        <v>142</v>
      </c>
    </row>
    <row r="19" customFormat="false" ht="19.5" hidden="false" customHeight="true" outlineLevel="0" collapsed="false">
      <c r="A19" s="26"/>
      <c r="B19" s="26"/>
    </row>
    <row r="20" customFormat="false" ht="19.5" hidden="false" customHeight="true" outlineLevel="0" collapsed="false">
      <c r="A20" s="23" t="s">
        <v>143</v>
      </c>
      <c r="B20" s="23"/>
    </row>
    <row r="21" customFormat="false" ht="19.5" hidden="false" customHeight="true" outlineLevel="0" collapsed="false">
      <c r="A21" s="32" t="s">
        <v>144</v>
      </c>
      <c r="B21" s="32" t="s">
        <v>145</v>
      </c>
    </row>
    <row r="22" customFormat="false" ht="19.5" hidden="false" customHeight="true" outlineLevel="0" collapsed="false">
      <c r="A22" s="27" t="s">
        <v>146</v>
      </c>
      <c r="B22" s="27" t="s">
        <v>147</v>
      </c>
    </row>
    <row r="23" customFormat="false" ht="19.5" hidden="false" customHeight="true" outlineLevel="0" collapsed="false">
      <c r="A23" s="32" t="s">
        <v>148</v>
      </c>
      <c r="B23" s="32" t="s">
        <v>149</v>
      </c>
    </row>
    <row r="24" customFormat="false" ht="19.5" hidden="false" customHeight="true" outlineLevel="0" collapsed="false">
      <c r="A24" s="27" t="s">
        <v>150</v>
      </c>
      <c r="B24" s="27" t="s">
        <v>151</v>
      </c>
    </row>
    <row r="25" customFormat="false" ht="19.5" hidden="false" customHeight="true" outlineLevel="0" collapsed="false">
      <c r="A25" s="32" t="s">
        <v>152</v>
      </c>
      <c r="B25" s="3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2026-05-07T17:13:12Z</dcterms:created>
  <dc:creator>openpyxl</dc:creator>
  <dc:description/>
  <dc:language>en-US</dc:language>
  <cp:lastModifiedBy/>
  <dcterms:modified xsi:type="dcterms:W3CDTF">2026-05-07T17:13:13Z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